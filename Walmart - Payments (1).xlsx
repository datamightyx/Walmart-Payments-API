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GS" sheetId="1" r:id="rId5"/>
    <sheet state="visible" name="Total" sheetId="2" r:id="rId6"/>
  </sheets>
  <definedNames/>
  <calcPr/>
</workbook>
</file>

<file path=xl/sharedStrings.xml><?xml version="1.0" encoding="utf-8"?>
<sst xmlns="http://schemas.openxmlformats.org/spreadsheetml/2006/main" count="95" uniqueCount="86">
  <si>
    <t>Product</t>
  </si>
  <si>
    <t>07.11 – 07.25
2026</t>
  </si>
  <si>
    <t>amazon ASIN</t>
  </si>
  <si>
    <t>SKU</t>
  </si>
  <si>
    <t>Item ID</t>
  </si>
  <si>
    <t>Total price/unit</t>
  </si>
  <si>
    <t>Shammy Mini</t>
  </si>
  <si>
    <t>B07TW7STZY</t>
  </si>
  <si>
    <t>HM-OJN1-DYNW</t>
  </si>
  <si>
    <t>Opening balance *</t>
  </si>
  <si>
    <t>Reserves *</t>
  </si>
  <si>
    <t>Holds *</t>
  </si>
  <si>
    <t>Sales</t>
  </si>
  <si>
    <t>Shammy Original - 2 pack</t>
  </si>
  <si>
    <t>B08HZ5SMF4</t>
  </si>
  <si>
    <t>FV-G2BM-YDNW</t>
  </si>
  <si>
    <t>Total Units Sold</t>
  </si>
  <si>
    <t>Microfiber</t>
  </si>
  <si>
    <t>B07DXCGCHF</t>
  </si>
  <si>
    <t>OH-FMAF-37NW</t>
  </si>
  <si>
    <t>Product price</t>
  </si>
  <si>
    <t>Elastic - 4 pack</t>
  </si>
  <si>
    <t>B06XQ8B8Y8</t>
  </si>
  <si>
    <t>CL-87X7-EMNW</t>
  </si>
  <si>
    <t>Shipping *</t>
  </si>
  <si>
    <t>Elastic Bandage 4 velcro (2x4"+2x6")</t>
  </si>
  <si>
    <t>B08HZ94M16</t>
  </si>
  <si>
    <t>W5-NJYR-VLnv</t>
  </si>
  <si>
    <t>WFS shipping reversal *</t>
  </si>
  <si>
    <t>Elastic Bandage 6 velcro (2x2"+2x3"+2x4")</t>
  </si>
  <si>
    <t>B099S5CF9W</t>
  </si>
  <si>
    <t>64-9HU1-73NV</t>
  </si>
  <si>
    <t>Net tax collected</t>
  </si>
  <si>
    <t>Velcro 5pk - 4inches</t>
  </si>
  <si>
    <t>B0D319TKSC</t>
  </si>
  <si>
    <t>7V-ORUY-8IN9</t>
  </si>
  <si>
    <t>Other taxes (fee)</t>
  </si>
  <si>
    <t>Velcro 4pk - Mix</t>
  </si>
  <si>
    <t>Net commission</t>
  </si>
  <si>
    <t>B0D318HS9D</t>
  </si>
  <si>
    <t>4V-ELAS-NMLI</t>
  </si>
  <si>
    <t>Elastic - 8 pack</t>
  </si>
  <si>
    <t>Net tax withheld</t>
  </si>
  <si>
    <t>B07R2D594Z</t>
  </si>
  <si>
    <t>3V-IFTI-UNPC</t>
  </si>
  <si>
    <t>Velcro 10pk - 3inches</t>
  </si>
  <si>
    <t>B0D319TNH9</t>
  </si>
  <si>
    <t>6V-OLIG-G5UJ</t>
  </si>
  <si>
    <t>Half Leg Cast cover  - 2pcs</t>
  </si>
  <si>
    <t>B078Q32FXQ</t>
  </si>
  <si>
    <t>K4-MWL6-62NP</t>
  </si>
  <si>
    <t>WFS shipping tax reversal *</t>
  </si>
  <si>
    <t>Half Arm Cast cover - 3pcs</t>
  </si>
  <si>
    <t>B078Q7WJSG</t>
  </si>
  <si>
    <t>QF-AZVE-XFNW</t>
  </si>
  <si>
    <t>Total Walmart funded savings</t>
  </si>
  <si>
    <t>Total</t>
  </si>
  <si>
    <t>Full Arm Cast Covers</t>
  </si>
  <si>
    <t>B08J4G25JZ</t>
  </si>
  <si>
    <t>GC-5KKG-GJNW</t>
  </si>
  <si>
    <t>Full Leg Cast Covers</t>
  </si>
  <si>
    <t>B08J3ZRTLQ</t>
  </si>
  <si>
    <t>10-69NQ-RANW</t>
  </si>
  <si>
    <t>Refunds</t>
  </si>
  <si>
    <t>Gauze - 24 pack</t>
  </si>
  <si>
    <t>B07HHL3W1M</t>
  </si>
  <si>
    <t>LQ-NFKV-9NEW</t>
  </si>
  <si>
    <t>Gauze 36 rolls 3"</t>
  </si>
  <si>
    <t>B09R83Z3JQ</t>
  </si>
  <si>
    <t>HN-KDR6-YSNV</t>
  </si>
  <si>
    <t>KT Tape - (set of 3) Black</t>
  </si>
  <si>
    <t>B07BJ9VK6L</t>
  </si>
  <si>
    <t>AP-WXP7-D59M</t>
  </si>
  <si>
    <t>KT Tape - (set of 3) Beige</t>
  </si>
  <si>
    <t>B07BJB629Z</t>
  </si>
  <si>
    <t>SD-3S4Z-PVV3</t>
  </si>
  <si>
    <t>KT Tape - (set of 3) Mix</t>
  </si>
  <si>
    <t>B07BJ9K2WT</t>
  </si>
  <si>
    <t>XO-UJ6I-GLD8</t>
  </si>
  <si>
    <t>Commission</t>
  </si>
  <si>
    <t>Services fees</t>
  </si>
  <si>
    <t>Walmart fulfillment services</t>
  </si>
  <si>
    <t>Paid to you:</t>
  </si>
  <si>
    <t>Total COGS</t>
  </si>
  <si>
    <t>Advertising (Spend)</t>
  </si>
  <si>
    <t>TACOS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</si>
</sst>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$#,##0.00;[RED]-$#,##0.00"/>
  </numFmts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  <font>
      <sz val="12.0"/>
      <color rgb="FF666666"/>
      <name val="Arial"/>
      <scheme val="minor"/>
    </font>
    <font>
      <b/>
      <sz val="12.0"/>
      <color theme="1"/>
      <name val="Arial"/>
      <scheme val="minor"/>
    </font>
    <font>
      <sz val="12.0"/>
      <color rgb="FFFF0000"/>
      <name val="Arial"/>
      <scheme val="minor"/>
    </font>
    <font>
      <b/>
      <sz val="12.0"/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2F4F9"/>
        <bgColor rgb="FFF2F4F9"/>
      </patternFill>
    </fill>
    <fill>
      <patternFill patternType="solid">
        <fgColor rgb="FFFFE599"/>
        <bgColor rgb="FFFFE599"/>
      </patternFill>
    </fill>
  </fills>
  <borders count="2">
    <border/>
    <border>
      <top style="thin">
        <color rgb="FFB2B2B2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1"/>
    </xf>
    <xf borderId="0" fillId="2" fontId="2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2" fontId="2" numFmtId="164" xfId="0" applyAlignment="1" applyFont="1" applyNumberFormat="1">
      <alignment readingOrder="0"/>
    </xf>
    <xf borderId="0" fillId="0" fontId="4" numFmtId="165" xfId="0" applyAlignment="1" applyFont="1" applyNumberFormat="1">
      <alignment horizontal="right" vertical="bottom"/>
    </xf>
    <xf borderId="0" fillId="2" fontId="2" numFmtId="164" xfId="0" applyFont="1" applyNumberFormat="1"/>
    <xf borderId="0" fillId="2" fontId="2" numFmtId="0" xfId="0" applyFont="1"/>
    <xf borderId="0" fillId="3" fontId="5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4" fontId="1" numFmtId="0" xfId="0" applyAlignment="1" applyFill="1" applyFont="1">
      <alignment readingOrder="0" vertical="bottom"/>
    </xf>
    <xf borderId="0" fillId="4" fontId="1" numFmtId="165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0" fontId="5" numFmtId="165" xfId="0" applyAlignment="1" applyBorder="1" applyFont="1" applyNumberFormat="1">
      <alignment horizontal="right" vertical="bottom"/>
    </xf>
    <xf borderId="0" fillId="0" fontId="2" numFmtId="164" xfId="0" applyFont="1" applyNumberFormat="1"/>
    <xf borderId="1" fillId="0" fontId="7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shrinkToFit="0" vertical="bottom" wrapText="1"/>
    </xf>
    <xf borderId="0" fillId="4" fontId="5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6" max="6" width="7.63"/>
    <col customWidth="1" min="7" max="7" width="10.38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4" t="s">
        <v>6</v>
      </c>
      <c r="B2" s="4" t="s">
        <v>7</v>
      </c>
      <c r="C2" s="4" t="s">
        <v>8</v>
      </c>
      <c r="D2" s="4">
        <v>2.540475484E9</v>
      </c>
      <c r="E2" s="6">
        <v>2.49</v>
      </c>
      <c r="F2" s="4">
        <v>38.0</v>
      </c>
      <c r="G2" s="8">
        <f t="shared" ref="G2:G20" si="1">F2*E2</f>
        <v>94.62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 t="s">
        <v>13</v>
      </c>
      <c r="B3" s="4" t="s">
        <v>14</v>
      </c>
      <c r="C3" s="4" t="s">
        <v>15</v>
      </c>
      <c r="D3" s="4">
        <v>2.003467732E9</v>
      </c>
      <c r="E3" s="6">
        <v>3.74</v>
      </c>
      <c r="F3" s="4">
        <v>21.0</v>
      </c>
      <c r="G3" s="8">
        <f t="shared" si="1"/>
        <v>78.54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17</v>
      </c>
      <c r="B4" s="4" t="s">
        <v>18</v>
      </c>
      <c r="C4" s="4" t="s">
        <v>19</v>
      </c>
      <c r="D4" s="4">
        <v>1.787502476E9</v>
      </c>
      <c r="E4" s="6">
        <v>2.27</v>
      </c>
      <c r="F4" s="4">
        <v>23.0</v>
      </c>
      <c r="G4" s="8">
        <f t="shared" si="1"/>
        <v>52.21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 t="s">
        <v>21</v>
      </c>
      <c r="B5" s="4" t="s">
        <v>22</v>
      </c>
      <c r="C5" s="4" t="s">
        <v>23</v>
      </c>
      <c r="D5" s="4">
        <v>1.672032355E9</v>
      </c>
      <c r="E5" s="6">
        <v>1.38</v>
      </c>
      <c r="F5" s="4">
        <v>155.0</v>
      </c>
      <c r="G5" s="8">
        <f t="shared" si="1"/>
        <v>213.9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 t="s">
        <v>25</v>
      </c>
      <c r="B6" s="4" t="s">
        <v>26</v>
      </c>
      <c r="C6" s="4" t="s">
        <v>27</v>
      </c>
      <c r="D6" s="4">
        <v>2.794578356E9</v>
      </c>
      <c r="E6" s="6">
        <v>2.02</v>
      </c>
      <c r="F6" s="4">
        <v>25.0</v>
      </c>
      <c r="G6" s="8">
        <f t="shared" si="1"/>
        <v>50.5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 t="s">
        <v>29</v>
      </c>
      <c r="B7" s="4" t="s">
        <v>30</v>
      </c>
      <c r="C7" s="4" t="s">
        <v>31</v>
      </c>
      <c r="D7" s="4">
        <v>1.247983525E9</v>
      </c>
      <c r="E7" s="6">
        <v>1.99</v>
      </c>
      <c r="F7" s="4">
        <v>126.0</v>
      </c>
      <c r="G7" s="8">
        <f t="shared" si="1"/>
        <v>250.74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4" t="s">
        <v>33</v>
      </c>
      <c r="B8" s="4" t="s">
        <v>34</v>
      </c>
      <c r="C8" s="4" t="s">
        <v>35</v>
      </c>
      <c r="D8" s="4">
        <v>1.702777191E10</v>
      </c>
      <c r="E8" s="6">
        <v>2.28</v>
      </c>
      <c r="F8" s="9"/>
      <c r="G8" s="8">
        <f t="shared" si="1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37</v>
      </c>
      <c r="B9" s="4" t="s">
        <v>39</v>
      </c>
      <c r="C9" s="4" t="s">
        <v>40</v>
      </c>
      <c r="D9" s="4">
        <v>1.7028121272E10</v>
      </c>
      <c r="E9" s="6">
        <v>1.72</v>
      </c>
      <c r="F9" s="9"/>
      <c r="G9" s="8">
        <f t="shared" si="1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41</v>
      </c>
      <c r="B10" s="4" t="s">
        <v>43</v>
      </c>
      <c r="C10" s="4" t="s">
        <v>44</v>
      </c>
      <c r="D10" s="4">
        <v>1.7061107357E10</v>
      </c>
      <c r="E10" s="6">
        <v>3.81</v>
      </c>
      <c r="F10" s="9"/>
      <c r="G10" s="8">
        <f t="shared" si="1"/>
        <v>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 t="s">
        <v>45</v>
      </c>
      <c r="B11" s="4" t="s">
        <v>46</v>
      </c>
      <c r="C11" s="4" t="s">
        <v>47</v>
      </c>
      <c r="D11" s="4">
        <v>1.7081210035E10</v>
      </c>
      <c r="E11" s="6">
        <v>3.84</v>
      </c>
      <c r="F11" s="9"/>
      <c r="G11" s="8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" t="s">
        <v>48</v>
      </c>
      <c r="B12" s="4" t="s">
        <v>49</v>
      </c>
      <c r="C12" s="4" t="s">
        <v>50</v>
      </c>
      <c r="D12" s="4">
        <v>1.326968622E9</v>
      </c>
      <c r="E12" s="6">
        <v>1.49</v>
      </c>
      <c r="F12" s="4">
        <v>181.0</v>
      </c>
      <c r="G12" s="8">
        <f t="shared" si="1"/>
        <v>269.69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" t="s">
        <v>52</v>
      </c>
      <c r="B13" s="4" t="s">
        <v>53</v>
      </c>
      <c r="C13" s="4" t="s">
        <v>54</v>
      </c>
      <c r="D13" s="4">
        <v>1.527878062E9</v>
      </c>
      <c r="E13" s="6">
        <v>1.27</v>
      </c>
      <c r="F13" s="4">
        <v>68.0</v>
      </c>
      <c r="G13" s="8">
        <f t="shared" si="1"/>
        <v>86.36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 t="s">
        <v>57</v>
      </c>
      <c r="B14" s="4" t="s">
        <v>58</v>
      </c>
      <c r="C14" s="4" t="s">
        <v>59</v>
      </c>
      <c r="D14" s="4">
        <v>2.278789331E9</v>
      </c>
      <c r="E14" s="6">
        <v>1.6</v>
      </c>
      <c r="F14" s="4">
        <v>20.0</v>
      </c>
      <c r="G14" s="8">
        <f t="shared" si="1"/>
        <v>32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" t="s">
        <v>60</v>
      </c>
      <c r="B15" s="4" t="s">
        <v>61</v>
      </c>
      <c r="C15" s="4" t="s">
        <v>62</v>
      </c>
      <c r="D15" s="4">
        <v>2.529398899E9</v>
      </c>
      <c r="E15" s="6">
        <v>2.28</v>
      </c>
      <c r="F15" s="4">
        <v>19.0</v>
      </c>
      <c r="G15" s="8">
        <f t="shared" si="1"/>
        <v>43.32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64</v>
      </c>
      <c r="B16" s="4" t="s">
        <v>65</v>
      </c>
      <c r="C16" s="4" t="s">
        <v>66</v>
      </c>
      <c r="D16" s="4">
        <v>1.837779593E9</v>
      </c>
      <c r="E16" s="6">
        <v>2.17</v>
      </c>
      <c r="F16" s="4">
        <v>318.0</v>
      </c>
      <c r="G16" s="8">
        <f t="shared" si="1"/>
        <v>690.06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4" t="s">
        <v>67</v>
      </c>
      <c r="B17" s="4" t="s">
        <v>68</v>
      </c>
      <c r="C17" s="4" t="s">
        <v>69</v>
      </c>
      <c r="D17" s="4">
        <v>2.481306223E9</v>
      </c>
      <c r="E17" s="6">
        <v>2.77</v>
      </c>
      <c r="F17" s="4">
        <v>240.0</v>
      </c>
      <c r="G17" s="8">
        <f t="shared" si="1"/>
        <v>664.8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4" t="s">
        <v>70</v>
      </c>
      <c r="B18" s="4" t="s">
        <v>71</v>
      </c>
      <c r="C18" s="4" t="s">
        <v>72</v>
      </c>
      <c r="D18" s="4">
        <v>1.7050517938E10</v>
      </c>
      <c r="E18" s="6">
        <v>5.21</v>
      </c>
      <c r="F18" s="9"/>
      <c r="G18" s="8">
        <f t="shared" si="1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4" t="s">
        <v>73</v>
      </c>
      <c r="B19" s="4" t="s">
        <v>74</v>
      </c>
      <c r="C19" s="4" t="s">
        <v>75</v>
      </c>
      <c r="D19" s="4">
        <v>1.7061457318E10</v>
      </c>
      <c r="E19" s="6">
        <v>5.21</v>
      </c>
      <c r="F19" s="4">
        <v>5.0</v>
      </c>
      <c r="G19" s="8">
        <f t="shared" si="1"/>
        <v>26.05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4" t="s">
        <v>76</v>
      </c>
      <c r="B20" s="4" t="s">
        <v>77</v>
      </c>
      <c r="C20" s="4" t="s">
        <v>78</v>
      </c>
      <c r="D20" s="4">
        <v>1.7033851293E10</v>
      </c>
      <c r="E20" s="6">
        <v>5.21</v>
      </c>
      <c r="F20" s="4">
        <v>17.0</v>
      </c>
      <c r="G20" s="8">
        <f t="shared" si="1"/>
        <v>88.57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G21" s="19">
        <f>SUM(G2:G20)</f>
        <v>2641.36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3.88"/>
  </cols>
  <sheetData>
    <row r="1">
      <c r="A1" s="1"/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9</v>
      </c>
      <c r="B2" s="7">
        <v>0.0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10</v>
      </c>
      <c r="B3" s="7">
        <v>0.0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11</v>
      </c>
      <c r="B4" s="7">
        <v>0.0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 t="s">
        <v>12</v>
      </c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2" t="s">
        <v>16</v>
      </c>
      <c r="B6" s="1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 t="s">
        <v>20</v>
      </c>
      <c r="B7" s="15">
        <v>16553.04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 t="s">
        <v>24</v>
      </c>
      <c r="B8" s="7">
        <v>0.0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28</v>
      </c>
      <c r="B9" s="7">
        <v>0.0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4" t="s">
        <v>32</v>
      </c>
      <c r="B10" s="15">
        <v>919.62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4" t="s">
        <v>36</v>
      </c>
      <c r="B11" s="15">
        <v>0.34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4" t="s">
        <v>38</v>
      </c>
      <c r="B12" s="16">
        <v>-2485.45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4" t="s">
        <v>42</v>
      </c>
      <c r="B13" s="16">
        <v>-919.62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 t="s">
        <v>51</v>
      </c>
      <c r="B14" s="7">
        <v>0.0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4" t="s">
        <v>55</v>
      </c>
      <c r="B15" s="15">
        <v>5.0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7" t="s">
        <v>56</v>
      </c>
      <c r="B16" s="18">
        <v>14072.93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" t="s">
        <v>63</v>
      </c>
      <c r="B17" s="1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4" t="s">
        <v>20</v>
      </c>
      <c r="B18" s="16">
        <v>-229.87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24</v>
      </c>
      <c r="B19" s="7">
        <v>0.0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 t="s">
        <v>28</v>
      </c>
      <c r="B20" s="7">
        <v>0.0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4" t="s">
        <v>32</v>
      </c>
      <c r="B21" s="16">
        <v>-7.71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4" t="s">
        <v>36</v>
      </c>
      <c r="B22" s="16">
        <v>-0.07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4" t="s">
        <v>79</v>
      </c>
      <c r="B23" s="15">
        <v>34.51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4" t="s">
        <v>42</v>
      </c>
      <c r="B24" s="15">
        <v>7.71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4" t="s">
        <v>55</v>
      </c>
      <c r="B25" s="15">
        <v>0.0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7" t="s">
        <v>56</v>
      </c>
      <c r="B26" s="20">
        <v>-195.43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0" t="s">
        <v>80</v>
      </c>
      <c r="B27" s="1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4" t="s">
        <v>81</v>
      </c>
      <c r="B28" s="16">
        <v>-5071.87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7" t="s">
        <v>56</v>
      </c>
      <c r="B29" s="20">
        <v>-5071.87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4"/>
      <c r="B30" s="1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7" t="s">
        <v>82</v>
      </c>
      <c r="B31" s="18">
        <v>8805.63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2" t="s">
        <v>83</v>
      </c>
      <c r="B33" s="2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5">
      <c r="A35" s="22" t="s">
        <v>84</v>
      </c>
      <c r="B35" s="2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4" t="s">
        <v>85</v>
      </c>
      <c r="B36" s="1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4"/>
      <c r="B37" s="1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A32:B32"/>
  </mergeCells>
  <drawing r:id="rId1"/>
</worksheet>
</file>